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emissas" sheetId="2" state="visible" r:id="rId4"/>
    <sheet name="Custos" sheetId="3" state="visible" r:id="rId5"/>
    <sheet name="Capacidade Firebase" sheetId="4" state="visible" r:id="rId6"/>
    <sheet name="Público estimado" sheetId="5" state="visible" r:id="rId7"/>
    <sheet name="Financiament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<sst xmlns="http://schemas.openxmlformats.org/spreadsheetml/2006/main" count="154" uniqueCount="125">
  <si>
    <t xml:space="preserve">Ponte Solidária — Planilha de custos e viabilidade</t>
  </si>
  <si>
    <t xml:space="preserve">COMO USAR: altere apenas as células com texto AZUL (premissas). Células pretas são fórmulas e recalculam sozinhas.</t>
  </si>
  <si>
    <t xml:space="preserve">Células com fundo AMARELO são as premissas mais sensíveis (valor da hora de manutenção e investimento em marketing).</t>
  </si>
  <si>
    <t xml:space="preserve">Valores em reais (R$). Cenários: Piloto (TCC/Janaúba), Crescimento (região) e Consolidado (vários municípios).</t>
  </si>
  <si>
    <t xml:space="preserve">Fontes verificadas: domínio .com.br R$ 40,00/ano (registro.br); cotas gratuitas do Firestore no plano Spark: 50.000 leituras e 20.000 escritas por dia (documentação do Firebase);</t>
  </si>
  <si>
    <t xml:space="preserve">população de Janaúba 70.699 hab. (IBGE, Censo 2022); insegurança alimentar em 24,2% dos domicílios em 2024 (IBGE/PNAD Contínua).</t>
  </si>
  <si>
    <t xml:space="preserve">Os demais preços são ESTIMATIVAS DE MERCADO usadas como premissa: confirme com o fornecedor antes de contratar.</t>
  </si>
  <si>
    <t xml:space="preserve">Abas: Premissas · Custos · Capacidade Firebase · Público estimado · Financiamento</t>
  </si>
  <si>
    <t xml:space="preserve">Premissa</t>
  </si>
  <si>
    <t xml:space="preserve">Piloto</t>
  </si>
  <si>
    <t xml:space="preserve">Crescimento</t>
  </si>
  <si>
    <t xml:space="preserve">Consolidado</t>
  </si>
  <si>
    <t xml:space="preserve">Observação</t>
  </si>
  <si>
    <t xml:space="preserve">Contas de pessoas (doadores/beneficiários)</t>
  </si>
  <si>
    <t xml:space="preserve">Estimativa própria; ver aba Público estimado</t>
  </si>
  <si>
    <t xml:space="preserve">ONGs parceiras</t>
  </si>
  <si>
    <t xml:space="preserve">Estimativa própria</t>
  </si>
  <si>
    <t xml:space="preserve">Usuários ativos por dia (% das contas)</t>
  </si>
  <si>
    <t xml:space="preserve">Premissa: parte das contas acessa em um dia comum</t>
  </si>
  <si>
    <t xml:space="preserve">Leituras Firestore por visita</t>
  </si>
  <si>
    <t xml:space="preserve">O site escuta coleções em tempo real; ajustável após medir no console</t>
  </si>
  <si>
    <t xml:space="preserve">Escritas Firestore por visita</t>
  </si>
  <si>
    <t xml:space="preserve">Doações, pedidos, notificações, mensagens</t>
  </si>
  <si>
    <t xml:space="preserve">Visitas por usuário ativo por dia</t>
  </si>
  <si>
    <t xml:space="preserve">Valor da hora de manutenção (R$/h)</t>
  </si>
  <si>
    <t xml:space="preserve">Premissa de mercado (desenvolvedor júnior); no TCC pode ser voluntário</t>
  </si>
  <si>
    <t xml:space="preserve">Horas de manutenção por mês</t>
  </si>
  <si>
    <t xml:space="preserve">Correções, atualização de bibliotecas, moderação técnica</t>
  </si>
  <si>
    <t xml:space="preserve">Horas de moderação/suporte por mês</t>
  </si>
  <si>
    <t xml:space="preserve">Aprovar ONGs, bloquear abuso, atender dúvidas</t>
  </si>
  <si>
    <t xml:space="preserve">Investimento mensal em anúncios (R$)</t>
  </si>
  <si>
    <t xml:space="preserve">Impulsionamento em redes sociais</t>
  </si>
  <si>
    <t xml:space="preserve">Cota gratuita: leituras/dia</t>
  </si>
  <si>
    <t xml:space="preserve">Firebase, plano Spark</t>
  </si>
  <si>
    <t xml:space="preserve">Cota gratuita: escritas/dia</t>
  </si>
  <si>
    <t xml:space="preserve">Categoria</t>
  </si>
  <si>
    <t xml:space="preserve">Item</t>
  </si>
  <si>
    <t xml:space="preserve">Piloto (R$/mês)</t>
  </si>
  <si>
    <t xml:space="preserve">Cresc. (R$/mês)</t>
  </si>
  <si>
    <t xml:space="preserve">Consol. (R$/mês)</t>
  </si>
  <si>
    <t xml:space="preserve">Piloto (R$/ano)</t>
  </si>
  <si>
    <t xml:space="preserve">Cresc. (R$/ano)</t>
  </si>
  <si>
    <t xml:space="preserve">Consol. (R$/ano)</t>
  </si>
  <si>
    <t xml:space="preserve">Domínio</t>
  </si>
  <si>
    <t xml:space="preserve">Domínio .com.br (R$ 40,00/ano)</t>
  </si>
  <si>
    <t xml:space="preserve">Fonte: registro.br — valor anual dividido por 12</t>
  </si>
  <si>
    <t xml:space="preserve">Hospedagem</t>
  </si>
  <si>
    <t xml:space="preserve">GitHub Pages / Firebase Hosting (site estático)</t>
  </si>
  <si>
    <t xml:space="preserve">Gratuito nos limites de uso</t>
  </si>
  <si>
    <t xml:space="preserve">Firebase Blaze (uso acima da cota gratuita)</t>
  </si>
  <si>
    <t xml:space="preserve">Estimativa: só passa a cobrar quando excede as cotas; ver aba Capacidade</t>
  </si>
  <si>
    <t xml:space="preserve">Integrações</t>
  </si>
  <si>
    <t xml:space="preserve">Firebase Authentication e Firestore (Spark)</t>
  </si>
  <si>
    <t xml:space="preserve">Dentro da cota gratuita no piloto</t>
  </si>
  <si>
    <t xml:space="preserve">E-mail transacional com domínio próprio (SMTP)</t>
  </si>
  <si>
    <t xml:space="preserve">Estimativa: planos gratuitos atendem o piloto</t>
  </si>
  <si>
    <t xml:space="preserve">Consulta de CNPJ (bases públicas)</t>
  </si>
  <si>
    <t xml:space="preserve">Gratuita</t>
  </si>
  <si>
    <t xml:space="preserve">Manutenção</t>
  </si>
  <si>
    <t xml:space="preserve">Desenvolvimento e correções</t>
  </si>
  <si>
    <t xml:space="preserve">Horas × valor da hora (aba Premissas)</t>
  </si>
  <si>
    <t xml:space="preserve">Moderação e suporte aos usuários</t>
  </si>
  <si>
    <t xml:space="preserve">Backup e monitoramento</t>
  </si>
  <si>
    <t xml:space="preserve">Exportação periódica do Firestore e alertas; estimativa</t>
  </si>
  <si>
    <t xml:space="preserve">Marketing</t>
  </si>
  <si>
    <t xml:space="preserve">Anúncios em redes sociais</t>
  </si>
  <si>
    <t xml:space="preserve">Aba Premissas</t>
  </si>
  <si>
    <t xml:space="preserve">Material gráfico (cartazes e panfletos)</t>
  </si>
  <si>
    <t xml:space="preserve">Estimativa diluída por mês (impressão em lote)</t>
  </si>
  <si>
    <t xml:space="preserve">Ferramentas de design (versão gratuita)</t>
  </si>
  <si>
    <t xml:space="preserve">Canva gratuito</t>
  </si>
  <si>
    <t xml:space="preserve">TOTAL</t>
  </si>
  <si>
    <t xml:space="preserve">Resumo por categoria (R$/ano)</t>
  </si>
  <si>
    <t xml:space="preserve">Custo de caixa/ano (sem horas de trabalho)</t>
  </si>
  <si>
    <t xml:space="preserve">Se manutenção e moderação forem voluntárias (caso do TCC), este é o desembolso real.</t>
  </si>
  <si>
    <t xml:space="preserve">Indicador</t>
  </si>
  <si>
    <t xml:space="preserve">Contas totais</t>
  </si>
  <si>
    <t xml:space="preserve">Usuários ativos por dia</t>
  </si>
  <si>
    <t xml:space="preserve">Leituras por dia</t>
  </si>
  <si>
    <t xml:space="preserve">Usuários ativos × visitas × leituras por visita</t>
  </si>
  <si>
    <t xml:space="preserve">Escritas por dia</t>
  </si>
  <si>
    <t xml:space="preserve">Uso da cota de leituras</t>
  </si>
  <si>
    <t xml:space="preserve">Uso da cota de escritas</t>
  </si>
  <si>
    <t xml:space="preserve">Situação</t>
  </si>
  <si>
    <t xml:space="preserve">Spark: ao exceder a cota, o serviço é suspenso até o fim do mês; Blaze cobra apenas o excedente.</t>
  </si>
  <si>
    <t xml:space="preserve">Valor</t>
  </si>
  <si>
    <t xml:space="preserve">Fonte / premissa</t>
  </si>
  <si>
    <t xml:space="preserve">População de Janaúba (MG)</t>
  </si>
  <si>
    <t xml:space="preserve">IBGE, Censo 2022</t>
  </si>
  <si>
    <t xml:space="preserve">Pessoas por domicílio (premissa)</t>
  </si>
  <si>
    <t xml:space="preserve">Premissa de cálculo; ajustar com dado do IBGE se desejar</t>
  </si>
  <si>
    <t xml:space="preserve">Domicílios estimados em Janaúba</t>
  </si>
  <si>
    <t xml:space="preserve">População ÷ pessoas por domicílio</t>
  </si>
  <si>
    <t xml:space="preserve">% de domicílios com algum grau de insegurança alimentar (Brasil, 2024)</t>
  </si>
  <si>
    <t xml:space="preserve">IBGE, PNAD Contínua 2024 (média nacional; o município pode diferir)</t>
  </si>
  <si>
    <t xml:space="preserve">% com insegurança alimentar moderada ou grave (Brasil, 2024)</t>
  </si>
  <si>
    <t xml:space="preserve">IBGE, PNAD Contínua 2024</t>
  </si>
  <si>
    <t xml:space="preserve">Domicílios com algum grau de insegurança alimentar (estimativa)</t>
  </si>
  <si>
    <t xml:space="preserve">Cálculo — estimativa, não dado municipal</t>
  </si>
  <si>
    <t xml:space="preserve">Domicílios com insegurança moderada ou grave (público prioritário)</t>
  </si>
  <si>
    <t xml:space="preserve">Meta do piloto: % do público prioritário alcançado no 1º ano</t>
  </si>
  <si>
    <t xml:space="preserve">Famílias que podem pedir ajuda no piloto (meta)</t>
  </si>
  <si>
    <t xml:space="preserve">Prioritário × meta</t>
  </si>
  <si>
    <t xml:space="preserve">Contas de pessoas previstas (cenário Piloto)</t>
  </si>
  <si>
    <t xml:space="preserve">Aba Premissas (inclui doadores e beneficiários)</t>
  </si>
  <si>
    <t xml:space="preserve">ONGs previstas (cenário Piloto)</t>
  </si>
  <si>
    <t xml:space="preserve">Custo de caixa por família atendida (R$/ano, Piloto)</t>
  </si>
  <si>
    <t xml:space="preserve">Custo de caixa do piloto ÷ famílias atendidas (meta)</t>
  </si>
  <si>
    <t xml:space="preserve">Fonte (opcional)</t>
  </si>
  <si>
    <t xml:space="preserve">Valor anual (R$)</t>
  </si>
  <si>
    <t xml:space="preserve">Patrocínio de comércio local (cotas)</t>
  </si>
  <si>
    <t xml:space="preserve">Edite: ex. nº de apoiadores × valor da cota</t>
  </si>
  <si>
    <t xml:space="preserve">Parceria com prefeitura / secretaria de assistência social</t>
  </si>
  <si>
    <t xml:space="preserve">Apoio institucional ou cessão de divulgação</t>
  </si>
  <si>
    <t xml:space="preserve">Doações voluntárias para a manutenção da plataforma</t>
  </si>
  <si>
    <t xml:space="preserve">Doação opcional, sem vínculo com a ajuda recebida</t>
  </si>
  <si>
    <t xml:space="preserve">Editais e fundos para tecnologia social</t>
  </si>
  <si>
    <t xml:space="preserve">Pesquisar editais abertos</t>
  </si>
  <si>
    <t xml:space="preserve">Apoio do IFNMG (laboratório/projeto de extensão)</t>
  </si>
  <si>
    <t xml:space="preserve">Hospedagem e horas de orientação como contrapartida</t>
  </si>
  <si>
    <t xml:space="preserve">Total de recursos previstos</t>
  </si>
  <si>
    <t xml:space="preserve">Custo anual — Piloto (com horas)</t>
  </si>
  <si>
    <t xml:space="preserve">Custo anual — Crescimento (com horas)</t>
  </si>
  <si>
    <t xml:space="preserve">Saldo (recursos − custo Crescimento)</t>
  </si>
  <si>
    <t xml:space="preserve">Monetização: a plataforma NÃO deve cobrar de quem precisa de ajuda nem vender dados (LGPD). Manter 100% sem fins lucrativos.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</si>
</sst>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&quot;R$ &quot;#,##0.00;&quot;(R$ &quot;#,##0.00\);\-"/>
    <numFmt numFmtId="167" formatCode="#,##0"/>
    <numFmt numFmtId="168" formatCode="0.0"/>
    <numFmt numFmtId="169" formatCode="0.0%"/>
    <numFmt numFmtId="170" formatCode="&quot;R$ &quot;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C3AED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EDE9F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DE9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C3AE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26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customFormat="false" ht="15" hidden="false" customHeight="false" outlineLevel="0" collapsed="false">
      <c r="A2" s="4" t="s">
        <v>13</v>
      </c>
      <c r="B2" s="5" t="n">
        <v>250</v>
      </c>
      <c r="C2" s="5" t="n">
        <v>1000</v>
      </c>
      <c r="D2" s="5" t="n">
        <v>5000</v>
      </c>
      <c r="E2" s="4" t="s">
        <v>14</v>
      </c>
    </row>
    <row r="3" customFormat="false" ht="15" hidden="false" customHeight="false" outlineLevel="0" collapsed="false">
      <c r="A3" s="4" t="s">
        <v>15</v>
      </c>
      <c r="B3" s="5" t="n">
        <v>3</v>
      </c>
      <c r="C3" s="5" t="n">
        <v>10</v>
      </c>
      <c r="D3" s="5" t="n">
        <v>30</v>
      </c>
      <c r="E3" s="4" t="s">
        <v>16</v>
      </c>
    </row>
    <row r="4" customFormat="false" ht="15" hidden="false" customHeight="false" outlineLevel="0" collapsed="false">
      <c r="A4" s="4" t="s">
        <v>17</v>
      </c>
      <c r="B4" s="6" t="n">
        <v>0.1</v>
      </c>
      <c r="C4" s="6" t="n">
        <v>0.08</v>
      </c>
      <c r="D4" s="6" t="n">
        <v>0.06</v>
      </c>
      <c r="E4" s="4" t="s">
        <v>18</v>
      </c>
    </row>
    <row r="5" customFormat="false" ht="15" hidden="false" customHeight="false" outlineLevel="0" collapsed="false">
      <c r="A5" s="4" t="s">
        <v>19</v>
      </c>
      <c r="B5" s="5" t="n">
        <v>300</v>
      </c>
      <c r="C5" s="5" t="n">
        <v>300</v>
      </c>
      <c r="D5" s="5" t="n">
        <v>300</v>
      </c>
      <c r="E5" s="4" t="s">
        <v>20</v>
      </c>
    </row>
    <row r="6" customFormat="false" ht="15" hidden="false" customHeight="false" outlineLevel="0" collapsed="false">
      <c r="A6" s="4" t="s">
        <v>21</v>
      </c>
      <c r="B6" s="5" t="n">
        <v>8</v>
      </c>
      <c r="C6" s="5" t="n">
        <v>8</v>
      </c>
      <c r="D6" s="5" t="n">
        <v>8</v>
      </c>
      <c r="E6" s="4" t="s">
        <v>22</v>
      </c>
    </row>
    <row r="7" customFormat="false" ht="15" hidden="false" customHeight="false" outlineLevel="0" collapsed="false">
      <c r="A7" s="4" t="s">
        <v>23</v>
      </c>
      <c r="B7" s="5" t="n">
        <v>1.5</v>
      </c>
      <c r="C7" s="5" t="n">
        <v>1.5</v>
      </c>
      <c r="D7" s="5" t="n">
        <v>1.5</v>
      </c>
      <c r="E7" s="4" t="s">
        <v>8</v>
      </c>
    </row>
    <row r="8" customFormat="false" ht="15" hidden="false" customHeight="false" outlineLevel="0" collapsed="false">
      <c r="A8" s="4" t="s">
        <v>24</v>
      </c>
      <c r="B8" s="7" t="n">
        <v>60</v>
      </c>
      <c r="C8" s="7" t="n">
        <v>60</v>
      </c>
      <c r="D8" s="7" t="n">
        <v>60</v>
      </c>
      <c r="E8" s="4" t="s">
        <v>25</v>
      </c>
    </row>
    <row r="9" customFormat="false" ht="15" hidden="false" customHeight="false" outlineLevel="0" collapsed="false">
      <c r="A9" s="4" t="s">
        <v>26</v>
      </c>
      <c r="B9" s="5" t="n">
        <v>4</v>
      </c>
      <c r="C9" s="5" t="n">
        <v>12</v>
      </c>
      <c r="D9" s="5" t="n">
        <v>30</v>
      </c>
      <c r="E9" s="4" t="s">
        <v>27</v>
      </c>
    </row>
    <row r="10" customFormat="false" ht="15" hidden="false" customHeight="false" outlineLevel="0" collapsed="false">
      <c r="A10" s="4" t="s">
        <v>28</v>
      </c>
      <c r="B10" s="5" t="n">
        <v>4</v>
      </c>
      <c r="C10" s="5" t="n">
        <v>15</v>
      </c>
      <c r="D10" s="5" t="n">
        <v>40</v>
      </c>
      <c r="E10" s="4" t="s">
        <v>29</v>
      </c>
    </row>
    <row r="11" customFormat="false" ht="15" hidden="false" customHeight="false" outlineLevel="0" collapsed="false">
      <c r="A11" s="4" t="s">
        <v>30</v>
      </c>
      <c r="B11" s="7" t="n">
        <v>0</v>
      </c>
      <c r="C11" s="7" t="n">
        <v>150</v>
      </c>
      <c r="D11" s="7" t="n">
        <v>500</v>
      </c>
      <c r="E11" s="4" t="s">
        <v>31</v>
      </c>
    </row>
    <row r="12" customFormat="false" ht="15" hidden="false" customHeight="false" outlineLevel="0" collapsed="false">
      <c r="A12" s="4" t="s">
        <v>32</v>
      </c>
      <c r="B12" s="5" t="n">
        <v>50000</v>
      </c>
      <c r="C12" s="5" t="n">
        <v>50000</v>
      </c>
      <c r="D12" s="5" t="n">
        <v>50000</v>
      </c>
      <c r="E12" s="4" t="s">
        <v>33</v>
      </c>
    </row>
    <row r="13" customFormat="false" ht="15" hidden="false" customHeight="false" outlineLevel="0" collapsed="false">
      <c r="A13" s="4" t="s">
        <v>34</v>
      </c>
      <c r="B13" s="5" t="n">
        <v>20000</v>
      </c>
      <c r="C13" s="5" t="n">
        <v>20000</v>
      </c>
      <c r="D13" s="5" t="n">
        <v>20000</v>
      </c>
      <c r="E13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8" min="3" style="0" width="14"/>
    <col collapsed="false" customWidth="true" hidden="false" outlineLevel="0" max="9" min="9" style="0" width="50"/>
  </cols>
  <sheetData>
    <row r="1" customFormat="false" ht="26.85" hidden="false" customHeight="false" outlineLevel="0" collapsed="false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12</v>
      </c>
    </row>
    <row r="2" customFormat="false" ht="15" hidden="false" customHeight="false" outlineLevel="0" collapsed="false">
      <c r="A2" s="4" t="s">
        <v>43</v>
      </c>
      <c r="B2" s="4" t="s">
        <v>44</v>
      </c>
      <c r="C2" s="8" t="n">
        <f aca="false">40/12</f>
        <v>3.33333333333333</v>
      </c>
      <c r="D2" s="8" t="n">
        <f aca="false">40/12</f>
        <v>3.33333333333333</v>
      </c>
      <c r="E2" s="8" t="n">
        <f aca="false">40/12</f>
        <v>3.33333333333333</v>
      </c>
      <c r="F2" s="8" t="n">
        <f aca="false">C2*12</f>
        <v>40</v>
      </c>
      <c r="G2" s="8" t="n">
        <f aca="false">D2*12</f>
        <v>40</v>
      </c>
      <c r="H2" s="8" t="n">
        <f aca="false">E2*12</f>
        <v>40</v>
      </c>
      <c r="I2" s="4" t="s">
        <v>45</v>
      </c>
    </row>
    <row r="3" customFormat="false" ht="15" hidden="false" customHeight="false" outlineLevel="0" collapsed="false">
      <c r="A3" s="4" t="s">
        <v>46</v>
      </c>
      <c r="B3" s="4" t="s">
        <v>47</v>
      </c>
      <c r="C3" s="9" t="n">
        <v>0</v>
      </c>
      <c r="D3" s="9" t="n">
        <v>0</v>
      </c>
      <c r="E3" s="9" t="n">
        <v>0</v>
      </c>
      <c r="F3" s="8" t="n">
        <f aca="false">C3*12</f>
        <v>0</v>
      </c>
      <c r="G3" s="8" t="n">
        <f aca="false">D3*12</f>
        <v>0</v>
      </c>
      <c r="H3" s="8" t="n">
        <f aca="false">E3*12</f>
        <v>0</v>
      </c>
      <c r="I3" s="4" t="s">
        <v>48</v>
      </c>
    </row>
    <row r="4" customFormat="false" ht="15" hidden="false" customHeight="false" outlineLevel="0" collapsed="false">
      <c r="A4" s="4" t="s">
        <v>46</v>
      </c>
      <c r="B4" s="4" t="s">
        <v>49</v>
      </c>
      <c r="C4" s="9" t="n">
        <v>0</v>
      </c>
      <c r="D4" s="9" t="n">
        <v>40</v>
      </c>
      <c r="E4" s="9" t="n">
        <v>150</v>
      </c>
      <c r="F4" s="8" t="n">
        <f aca="false">C4*12</f>
        <v>0</v>
      </c>
      <c r="G4" s="8" t="n">
        <f aca="false">D4*12</f>
        <v>480</v>
      </c>
      <c r="H4" s="8" t="n">
        <f aca="false">E4*12</f>
        <v>1800</v>
      </c>
      <c r="I4" s="4" t="s">
        <v>50</v>
      </c>
    </row>
    <row r="5" customFormat="false" ht="15" hidden="false" customHeight="false" outlineLevel="0" collapsed="false">
      <c r="A5" s="4" t="s">
        <v>51</v>
      </c>
      <c r="B5" s="4" t="s">
        <v>52</v>
      </c>
      <c r="C5" s="9" t="n">
        <v>0</v>
      </c>
      <c r="D5" s="9" t="n">
        <v>0</v>
      </c>
      <c r="E5" s="9" t="n">
        <v>0</v>
      </c>
      <c r="F5" s="8" t="n">
        <f aca="false">C5*12</f>
        <v>0</v>
      </c>
      <c r="G5" s="8" t="n">
        <f aca="false">D5*12</f>
        <v>0</v>
      </c>
      <c r="H5" s="8" t="n">
        <f aca="false">E5*12</f>
        <v>0</v>
      </c>
      <c r="I5" s="4" t="s">
        <v>53</v>
      </c>
    </row>
    <row r="6" customFormat="false" ht="15" hidden="false" customHeight="false" outlineLevel="0" collapsed="false">
      <c r="A6" s="4" t="s">
        <v>51</v>
      </c>
      <c r="B6" s="4" t="s">
        <v>54</v>
      </c>
      <c r="C6" s="9" t="n">
        <v>0</v>
      </c>
      <c r="D6" s="9" t="n">
        <v>0</v>
      </c>
      <c r="E6" s="9" t="n">
        <v>90</v>
      </c>
      <c r="F6" s="8" t="n">
        <f aca="false">C6*12</f>
        <v>0</v>
      </c>
      <c r="G6" s="8" t="n">
        <f aca="false">D6*12</f>
        <v>0</v>
      </c>
      <c r="H6" s="8" t="n">
        <f aca="false">E6*12</f>
        <v>1080</v>
      </c>
      <c r="I6" s="4" t="s">
        <v>55</v>
      </c>
    </row>
    <row r="7" customFormat="false" ht="15" hidden="false" customHeight="false" outlineLevel="0" collapsed="false">
      <c r="A7" s="4" t="s">
        <v>51</v>
      </c>
      <c r="B7" s="4" t="s">
        <v>56</v>
      </c>
      <c r="C7" s="9" t="n">
        <v>0</v>
      </c>
      <c r="D7" s="9" t="n">
        <v>0</v>
      </c>
      <c r="E7" s="9" t="n">
        <v>0</v>
      </c>
      <c r="F7" s="8" t="n">
        <f aca="false">C7*12</f>
        <v>0</v>
      </c>
      <c r="G7" s="8" t="n">
        <f aca="false">D7*12</f>
        <v>0</v>
      </c>
      <c r="H7" s="8" t="n">
        <f aca="false">E7*12</f>
        <v>0</v>
      </c>
      <c r="I7" s="4" t="s">
        <v>57</v>
      </c>
    </row>
    <row r="8" customFormat="false" ht="15" hidden="false" customHeight="false" outlineLevel="0" collapsed="false">
      <c r="A8" s="4" t="s">
        <v>58</v>
      </c>
      <c r="B8" s="4" t="s">
        <v>59</v>
      </c>
      <c r="C8" s="10" t="n">
        <f aca="false">Premissas!B8*Premissas!B9</f>
        <v>240</v>
      </c>
      <c r="D8" s="10" t="n">
        <f aca="false">Premissas!C8*Premissas!C9</f>
        <v>720</v>
      </c>
      <c r="E8" s="10" t="n">
        <f aca="false">Premissas!D8*Premissas!D9</f>
        <v>1800</v>
      </c>
      <c r="F8" s="8" t="n">
        <f aca="false">C8*12</f>
        <v>2880</v>
      </c>
      <c r="G8" s="8" t="n">
        <f aca="false">D8*12</f>
        <v>8640</v>
      </c>
      <c r="H8" s="8" t="n">
        <f aca="false">E8*12</f>
        <v>21600</v>
      </c>
      <c r="I8" s="4" t="s">
        <v>60</v>
      </c>
    </row>
    <row r="9" customFormat="false" ht="15" hidden="false" customHeight="false" outlineLevel="0" collapsed="false">
      <c r="A9" s="4" t="s">
        <v>58</v>
      </c>
      <c r="B9" s="4" t="s">
        <v>61</v>
      </c>
      <c r="C9" s="10" t="n">
        <f aca="false">Premissas!B8*Premissas!B10</f>
        <v>240</v>
      </c>
      <c r="D9" s="10" t="n">
        <f aca="false">Premissas!C8*Premissas!C10</f>
        <v>900</v>
      </c>
      <c r="E9" s="10" t="n">
        <f aca="false">Premissas!D8*Premissas!D10</f>
        <v>2400</v>
      </c>
      <c r="F9" s="8" t="n">
        <f aca="false">C9*12</f>
        <v>2880</v>
      </c>
      <c r="G9" s="8" t="n">
        <f aca="false">D9*12</f>
        <v>10800</v>
      </c>
      <c r="H9" s="8" t="n">
        <f aca="false">E9*12</f>
        <v>28800</v>
      </c>
      <c r="I9" s="4" t="s">
        <v>60</v>
      </c>
    </row>
    <row r="10" customFormat="false" ht="15" hidden="false" customHeight="false" outlineLevel="0" collapsed="false">
      <c r="A10" s="4" t="s">
        <v>58</v>
      </c>
      <c r="B10" s="4" t="s">
        <v>62</v>
      </c>
      <c r="C10" s="9" t="n">
        <v>0</v>
      </c>
      <c r="D10" s="9" t="n">
        <v>20</v>
      </c>
      <c r="E10" s="9" t="n">
        <v>60</v>
      </c>
      <c r="F10" s="8" t="n">
        <f aca="false">C10*12</f>
        <v>0</v>
      </c>
      <c r="G10" s="8" t="n">
        <f aca="false">D10*12</f>
        <v>240</v>
      </c>
      <c r="H10" s="8" t="n">
        <f aca="false">E10*12</f>
        <v>720</v>
      </c>
      <c r="I10" s="4" t="s">
        <v>63</v>
      </c>
    </row>
    <row r="11" customFormat="false" ht="15" hidden="false" customHeight="false" outlineLevel="0" collapsed="false">
      <c r="A11" s="4" t="s">
        <v>64</v>
      </c>
      <c r="B11" s="4" t="s">
        <v>65</v>
      </c>
      <c r="C11" s="10" t="n">
        <f aca="false">Premissas!B11</f>
        <v>0</v>
      </c>
      <c r="D11" s="10" t="n">
        <f aca="false">Premissas!C11</f>
        <v>150</v>
      </c>
      <c r="E11" s="10" t="n">
        <f aca="false">Premissas!D11</f>
        <v>500</v>
      </c>
      <c r="F11" s="8" t="n">
        <f aca="false">C11*12</f>
        <v>0</v>
      </c>
      <c r="G11" s="8" t="n">
        <f aca="false">D11*12</f>
        <v>1800</v>
      </c>
      <c r="H11" s="8" t="n">
        <f aca="false">E11*12</f>
        <v>6000</v>
      </c>
      <c r="I11" s="4" t="s">
        <v>66</v>
      </c>
    </row>
    <row r="12" customFormat="false" ht="15" hidden="false" customHeight="false" outlineLevel="0" collapsed="false">
      <c r="A12" s="4" t="s">
        <v>64</v>
      </c>
      <c r="B12" s="4" t="s">
        <v>67</v>
      </c>
      <c r="C12" s="9" t="n">
        <v>25</v>
      </c>
      <c r="D12" s="9" t="n">
        <v>40</v>
      </c>
      <c r="E12" s="9" t="n">
        <v>100</v>
      </c>
      <c r="F12" s="8" t="n">
        <f aca="false">C12*12</f>
        <v>300</v>
      </c>
      <c r="G12" s="8" t="n">
        <f aca="false">D12*12</f>
        <v>480</v>
      </c>
      <c r="H12" s="8" t="n">
        <f aca="false">E12*12</f>
        <v>1200</v>
      </c>
      <c r="I12" s="4" t="s">
        <v>68</v>
      </c>
    </row>
    <row r="13" customFormat="false" ht="15" hidden="false" customHeight="false" outlineLevel="0" collapsed="false">
      <c r="A13" s="4" t="s">
        <v>64</v>
      </c>
      <c r="B13" s="4" t="s">
        <v>69</v>
      </c>
      <c r="C13" s="9" t="n">
        <v>0</v>
      </c>
      <c r="D13" s="9" t="n">
        <v>0</v>
      </c>
      <c r="E13" s="9" t="n">
        <v>0</v>
      </c>
      <c r="F13" s="8" t="n">
        <f aca="false">C13*12</f>
        <v>0</v>
      </c>
      <c r="G13" s="8" t="n">
        <f aca="false">D13*12</f>
        <v>0</v>
      </c>
      <c r="H13" s="8" t="n">
        <f aca="false">E13*12</f>
        <v>0</v>
      </c>
      <c r="I13" s="4" t="s">
        <v>70</v>
      </c>
    </row>
    <row r="14" customFormat="false" ht="15" hidden="false" customHeight="false" outlineLevel="0" collapsed="false">
      <c r="A14" s="11" t="s">
        <v>71</v>
      </c>
      <c r="C14" s="12" t="n">
        <f aca="false">SUM(C2:C13)</f>
        <v>508.333333333333</v>
      </c>
      <c r="D14" s="12" t="n">
        <f aca="false">SUM(D2:D13)</f>
        <v>1873.33333333333</v>
      </c>
      <c r="E14" s="12" t="n">
        <f aca="false">SUM(E2:E13)</f>
        <v>5103.33333333333</v>
      </c>
      <c r="F14" s="12" t="n">
        <f aca="false">SUM(F2:F13)</f>
        <v>6100</v>
      </c>
      <c r="G14" s="12" t="n">
        <f aca="false">SUM(G2:G13)</f>
        <v>22480</v>
      </c>
      <c r="H14" s="12" t="n">
        <f aca="false">SUM(H2:H13)</f>
        <v>61240</v>
      </c>
    </row>
    <row r="16" customFormat="false" ht="15" hidden="false" customHeight="false" outlineLevel="0" collapsed="false">
      <c r="A16" s="11" t="s">
        <v>72</v>
      </c>
    </row>
    <row r="17" customFormat="false" ht="15" hidden="false" customHeight="false" outlineLevel="0" collapsed="false">
      <c r="A17" s="3" t="s">
        <v>35</v>
      </c>
      <c r="B17" s="3"/>
      <c r="C17" s="3"/>
      <c r="D17" s="3"/>
      <c r="E17" s="3"/>
      <c r="F17" s="3" t="s">
        <v>9</v>
      </c>
      <c r="G17" s="3" t="s">
        <v>10</v>
      </c>
      <c r="H17" s="3" t="s">
        <v>11</v>
      </c>
    </row>
    <row r="18" customFormat="false" ht="15" hidden="false" customHeight="false" outlineLevel="0" collapsed="false">
      <c r="A18" s="4" t="s">
        <v>43</v>
      </c>
      <c r="F18" s="8" t="n">
        <f aca="false">SUMIF($A$2:$A$13,$A18,F$2:F$13)</f>
        <v>40</v>
      </c>
      <c r="G18" s="8" t="n">
        <f aca="false">SUMIF($A$2:$A$13,$A18,G$2:G$13)</f>
        <v>40</v>
      </c>
      <c r="H18" s="8" t="n">
        <f aca="false">SUMIF($A$2:$A$13,$A18,H$2:H$13)</f>
        <v>40</v>
      </c>
    </row>
    <row r="19" customFormat="false" ht="15" hidden="false" customHeight="false" outlineLevel="0" collapsed="false">
      <c r="A19" s="4" t="s">
        <v>46</v>
      </c>
      <c r="F19" s="8" t="n">
        <f aca="false">SUMIF($A$2:$A$13,$A19,F$2:F$13)</f>
        <v>0</v>
      </c>
      <c r="G19" s="8" t="n">
        <f aca="false">SUMIF($A$2:$A$13,$A19,G$2:G$13)</f>
        <v>480</v>
      </c>
      <c r="H19" s="8" t="n">
        <f aca="false">SUMIF($A$2:$A$13,$A19,H$2:H$13)</f>
        <v>1800</v>
      </c>
    </row>
    <row r="20" customFormat="false" ht="15" hidden="false" customHeight="false" outlineLevel="0" collapsed="false">
      <c r="A20" s="4" t="s">
        <v>51</v>
      </c>
      <c r="F20" s="8" t="n">
        <f aca="false">SUMIF($A$2:$A$13,$A20,F$2:F$13)</f>
        <v>0</v>
      </c>
      <c r="G20" s="8" t="n">
        <f aca="false">SUMIF($A$2:$A$13,$A20,G$2:G$13)</f>
        <v>0</v>
      </c>
      <c r="H20" s="8" t="n">
        <f aca="false">SUMIF($A$2:$A$13,$A20,H$2:H$13)</f>
        <v>1080</v>
      </c>
    </row>
    <row r="21" customFormat="false" ht="15" hidden="false" customHeight="false" outlineLevel="0" collapsed="false">
      <c r="A21" s="4" t="s">
        <v>58</v>
      </c>
      <c r="F21" s="8" t="n">
        <f aca="false">SUMIF($A$2:$A$13,$A21,F$2:F$13)</f>
        <v>5760</v>
      </c>
      <c r="G21" s="8" t="n">
        <f aca="false">SUMIF($A$2:$A$13,$A21,G$2:G$13)</f>
        <v>19680</v>
      </c>
      <c r="H21" s="8" t="n">
        <f aca="false">SUMIF($A$2:$A$13,$A21,H$2:H$13)</f>
        <v>51120</v>
      </c>
    </row>
    <row r="22" customFormat="false" ht="15" hidden="false" customHeight="false" outlineLevel="0" collapsed="false">
      <c r="A22" s="4" t="s">
        <v>64</v>
      </c>
      <c r="F22" s="8" t="n">
        <f aca="false">SUMIF($A$2:$A$13,$A22,F$2:F$13)</f>
        <v>300</v>
      </c>
      <c r="G22" s="8" t="n">
        <f aca="false">SUMIF($A$2:$A$13,$A22,G$2:G$13)</f>
        <v>2280</v>
      </c>
      <c r="H22" s="8" t="n">
        <f aca="false">SUMIF($A$2:$A$13,$A22,H$2:H$13)</f>
        <v>7200</v>
      </c>
    </row>
    <row r="24" customFormat="false" ht="15" hidden="false" customHeight="false" outlineLevel="0" collapsed="false">
      <c r="A24" s="11" t="s">
        <v>73</v>
      </c>
      <c r="F24" s="13" t="n">
        <f aca="false">F14-C8*12-C9*12</f>
        <v>340</v>
      </c>
      <c r="G24" s="13" t="n">
        <f aca="false">G14-D8*12-D9*12</f>
        <v>3040</v>
      </c>
      <c r="H24" s="13" t="n">
        <f aca="false">H14-E8*12-E9*12</f>
        <v>10840</v>
      </c>
      <c r="I24" s="4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3" t="s">
        <v>75</v>
      </c>
      <c r="B1" s="3" t="s">
        <v>9</v>
      </c>
      <c r="C1" s="3" t="s">
        <v>10</v>
      </c>
      <c r="D1" s="3" t="s">
        <v>11</v>
      </c>
      <c r="E1" s="3" t="s">
        <v>12</v>
      </c>
    </row>
    <row r="2" customFormat="false" ht="15" hidden="false" customHeight="false" outlineLevel="0" collapsed="false">
      <c r="A2" s="4" t="s">
        <v>76</v>
      </c>
      <c r="B2" s="14" t="n">
        <f aca="false">Premissas!B2+Premissas!B3</f>
        <v>253</v>
      </c>
      <c r="C2" s="14" t="n">
        <f aca="false">Premissas!C2+Premissas!C3</f>
        <v>1010</v>
      </c>
      <c r="D2" s="14" t="n">
        <f aca="false">Premissas!D2+Premissas!D3</f>
        <v>5030</v>
      </c>
    </row>
    <row r="3" customFormat="false" ht="15" hidden="false" customHeight="false" outlineLevel="0" collapsed="false">
      <c r="A3" s="4" t="s">
        <v>77</v>
      </c>
      <c r="B3" s="14" t="n">
        <f aca="false">B2*Premissas!B4</f>
        <v>25.3</v>
      </c>
      <c r="C3" s="14" t="n">
        <f aca="false">C2*Premissas!C4</f>
        <v>80.8</v>
      </c>
      <c r="D3" s="14" t="n">
        <f aca="false">D2*Premissas!D4</f>
        <v>301.8</v>
      </c>
    </row>
    <row r="4" customFormat="false" ht="15" hidden="false" customHeight="false" outlineLevel="0" collapsed="false">
      <c r="A4" s="4" t="s">
        <v>78</v>
      </c>
      <c r="B4" s="14" t="n">
        <f aca="false">B3*Premissas!B7*Premissas!B5</f>
        <v>11385</v>
      </c>
      <c r="C4" s="14" t="n">
        <f aca="false">C3*Premissas!C7*Premissas!C5</f>
        <v>36360</v>
      </c>
      <c r="D4" s="14" t="n">
        <f aca="false">D3*Premissas!D7*Premissas!D5</f>
        <v>135810</v>
      </c>
      <c r="E4" s="4" t="s">
        <v>79</v>
      </c>
    </row>
    <row r="5" customFormat="false" ht="15" hidden="false" customHeight="false" outlineLevel="0" collapsed="false">
      <c r="A5" s="4" t="s">
        <v>80</v>
      </c>
      <c r="B5" s="14" t="n">
        <f aca="false">B3*Premissas!B7*Premissas!B6</f>
        <v>303.6</v>
      </c>
      <c r="C5" s="14" t="n">
        <f aca="false">C3*Premissas!C7*Premissas!C6</f>
        <v>969.6</v>
      </c>
      <c r="D5" s="14" t="n">
        <f aca="false">D3*Premissas!D7*Premissas!D6</f>
        <v>3621.6</v>
      </c>
    </row>
    <row r="6" customFormat="false" ht="15" hidden="false" customHeight="false" outlineLevel="0" collapsed="false">
      <c r="A6" s="4" t="s">
        <v>81</v>
      </c>
      <c r="B6" s="15" t="n">
        <f aca="false">B4/Premissas!B12</f>
        <v>0.2277</v>
      </c>
      <c r="C6" s="15" t="n">
        <f aca="false">C4/Premissas!C12</f>
        <v>0.7272</v>
      </c>
      <c r="D6" s="15" t="n">
        <f aca="false">D4/Premissas!D12</f>
        <v>2.7162</v>
      </c>
    </row>
    <row r="7" customFormat="false" ht="15" hidden="false" customHeight="false" outlineLevel="0" collapsed="false">
      <c r="A7" s="4" t="s">
        <v>82</v>
      </c>
      <c r="B7" s="15" t="n">
        <f aca="false">B5/Premissas!B13</f>
        <v>0.01518</v>
      </c>
      <c r="C7" s="15" t="n">
        <f aca="false">C5/Premissas!C13</f>
        <v>0.04848</v>
      </c>
      <c r="D7" s="15" t="n">
        <f aca="false">D5/Premissas!D13</f>
        <v>0.18108</v>
      </c>
    </row>
    <row r="8" customFormat="false" ht="15" hidden="false" customHeight="false" outlineLevel="0" collapsed="false">
      <c r="A8" s="4" t="s">
        <v>83</v>
      </c>
      <c r="B8" s="4" t="str">
        <f aca="false">IF(MAX(B6,B7)&lt;=0.8,"Dentro da cota gratuita",IF(MAX(B6,B7)&lt;=1,"Atenção: perto do limite","Excede: usar plano Blaze"))</f>
        <v>Dentro da cota gratuita</v>
      </c>
      <c r="C8" s="4" t="str">
        <f aca="false">IF(MAX(C6,C7)&lt;=0.8,"Dentro da cota gratuita",IF(MAX(C6,C7)&lt;=1,"Atenção: perto do limite","Excede: usar plano Blaze"))</f>
        <v>Dentro da cota gratuita</v>
      </c>
      <c r="D8" s="4" t="str">
        <f aca="false">IF(MAX(D6,D7)&lt;=0.8,"Dentro da cota gratuita",IF(MAX(D6,D7)&lt;=1,"Atenção: perto do limite","Excede: usar plano Blaze"))</f>
        <v>Excede: usar plano Blaze</v>
      </c>
      <c r="E8" s="4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3" t="s">
        <v>75</v>
      </c>
      <c r="B1" s="3" t="s">
        <v>85</v>
      </c>
      <c r="C1" s="3" t="s">
        <v>86</v>
      </c>
    </row>
    <row r="2" customFormat="false" ht="15" hidden="false" customHeight="false" outlineLevel="0" collapsed="false">
      <c r="A2" s="4" t="s">
        <v>87</v>
      </c>
      <c r="B2" s="16" t="n">
        <v>70699</v>
      </c>
      <c r="C2" s="4" t="s">
        <v>88</v>
      </c>
    </row>
    <row r="3" customFormat="false" ht="15" hidden="false" customHeight="false" outlineLevel="0" collapsed="false">
      <c r="A3" s="4" t="s">
        <v>89</v>
      </c>
      <c r="B3" s="17" t="n">
        <v>3</v>
      </c>
      <c r="C3" s="4" t="s">
        <v>90</v>
      </c>
    </row>
    <row r="4" customFormat="false" ht="15" hidden="false" customHeight="false" outlineLevel="0" collapsed="false">
      <c r="A4" s="4" t="s">
        <v>91</v>
      </c>
      <c r="B4" s="14" t="n">
        <f aca="false">B2/B3</f>
        <v>23566.3333333333</v>
      </c>
      <c r="C4" s="4" t="s">
        <v>92</v>
      </c>
    </row>
    <row r="5" customFormat="false" ht="15" hidden="false" customHeight="false" outlineLevel="0" collapsed="false">
      <c r="A5" s="4" t="s">
        <v>93</v>
      </c>
      <c r="B5" s="18" t="n">
        <v>0.242</v>
      </c>
      <c r="C5" s="4" t="s">
        <v>94</v>
      </c>
    </row>
    <row r="6" customFormat="false" ht="15" hidden="false" customHeight="false" outlineLevel="0" collapsed="false">
      <c r="A6" s="4" t="s">
        <v>95</v>
      </c>
      <c r="B6" s="18" t="n">
        <v>0.077</v>
      </c>
      <c r="C6" s="4" t="s">
        <v>96</v>
      </c>
    </row>
    <row r="7" customFormat="false" ht="15" hidden="false" customHeight="false" outlineLevel="0" collapsed="false">
      <c r="A7" s="4" t="s">
        <v>97</v>
      </c>
      <c r="B7" s="14" t="n">
        <f aca="false">B4*B5</f>
        <v>5703.05266666667</v>
      </c>
      <c r="C7" s="4" t="s">
        <v>98</v>
      </c>
    </row>
    <row r="8" customFormat="false" ht="15" hidden="false" customHeight="false" outlineLevel="0" collapsed="false">
      <c r="A8" s="4" t="s">
        <v>99</v>
      </c>
      <c r="B8" s="14" t="n">
        <f aca="false">B4*B6</f>
        <v>1814.60766666667</v>
      </c>
      <c r="C8" s="4" t="s">
        <v>98</v>
      </c>
    </row>
    <row r="9" customFormat="false" ht="15" hidden="false" customHeight="false" outlineLevel="0" collapsed="false">
      <c r="A9" s="4" t="s">
        <v>100</v>
      </c>
      <c r="B9" s="18" t="n">
        <v>0.1</v>
      </c>
      <c r="C9" s="4" t="s">
        <v>8</v>
      </c>
    </row>
    <row r="10" customFormat="false" ht="15" hidden="false" customHeight="false" outlineLevel="0" collapsed="false">
      <c r="A10" s="4" t="s">
        <v>101</v>
      </c>
      <c r="B10" s="14" t="n">
        <f aca="false">B8*B9</f>
        <v>181.460766666667</v>
      </c>
      <c r="C10" s="4" t="s">
        <v>102</v>
      </c>
    </row>
    <row r="11" customFormat="false" ht="15" hidden="false" customHeight="false" outlineLevel="0" collapsed="false">
      <c r="A11" s="4" t="s">
        <v>103</v>
      </c>
      <c r="B11" s="19" t="n">
        <f aca="false">Premissas!B2</f>
        <v>250</v>
      </c>
      <c r="C11" s="4" t="s">
        <v>104</v>
      </c>
    </row>
    <row r="12" customFormat="false" ht="15" hidden="false" customHeight="false" outlineLevel="0" collapsed="false">
      <c r="A12" s="4" t="s">
        <v>105</v>
      </c>
      <c r="B12" s="19" t="n">
        <f aca="false">Premissas!B3</f>
        <v>3</v>
      </c>
      <c r="C12" s="4" t="s">
        <v>66</v>
      </c>
    </row>
    <row r="13" customFormat="false" ht="15" hidden="false" customHeight="false" outlineLevel="0" collapsed="false">
      <c r="A13" s="4" t="s">
        <v>106</v>
      </c>
      <c r="B13" s="20" t="n">
        <f aca="false">IFERROR(Custos!F24/B10,0)</f>
        <v>1.87368325531524</v>
      </c>
      <c r="C13" s="4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3" t="s">
        <v>108</v>
      </c>
      <c r="B1" s="3" t="s">
        <v>109</v>
      </c>
      <c r="C1" s="3" t="s">
        <v>12</v>
      </c>
    </row>
    <row r="2" customFormat="false" ht="15" hidden="false" customHeight="false" outlineLevel="0" collapsed="false">
      <c r="A2" s="4" t="s">
        <v>110</v>
      </c>
      <c r="B2" s="9" t="n">
        <v>0</v>
      </c>
      <c r="C2" s="4" t="s">
        <v>111</v>
      </c>
    </row>
    <row r="3" customFormat="false" ht="15" hidden="false" customHeight="false" outlineLevel="0" collapsed="false">
      <c r="A3" s="4" t="s">
        <v>112</v>
      </c>
      <c r="B3" s="9" t="n">
        <v>0</v>
      </c>
      <c r="C3" s="4" t="s">
        <v>113</v>
      </c>
    </row>
    <row r="4" customFormat="false" ht="15" hidden="false" customHeight="false" outlineLevel="0" collapsed="false">
      <c r="A4" s="4" t="s">
        <v>114</v>
      </c>
      <c r="B4" s="9" t="n">
        <v>0</v>
      </c>
      <c r="C4" s="4" t="s">
        <v>115</v>
      </c>
    </row>
    <row r="5" customFormat="false" ht="15" hidden="false" customHeight="false" outlineLevel="0" collapsed="false">
      <c r="A5" s="4" t="s">
        <v>116</v>
      </c>
      <c r="B5" s="9" t="n">
        <v>0</v>
      </c>
      <c r="C5" s="4" t="s">
        <v>117</v>
      </c>
    </row>
    <row r="6" customFormat="false" ht="15" hidden="false" customHeight="false" outlineLevel="0" collapsed="false">
      <c r="A6" s="4" t="s">
        <v>118</v>
      </c>
      <c r="B6" s="9" t="n">
        <v>0</v>
      </c>
      <c r="C6" s="4" t="s">
        <v>119</v>
      </c>
    </row>
    <row r="8" customFormat="false" ht="15" hidden="false" customHeight="false" outlineLevel="0" collapsed="false">
      <c r="A8" s="11" t="s">
        <v>120</v>
      </c>
      <c r="B8" s="13" t="n">
        <f aca="false">SUM(B2:B6)</f>
        <v>0</v>
      </c>
    </row>
    <row r="9" customFormat="false" ht="15" hidden="false" customHeight="false" outlineLevel="0" collapsed="false">
      <c r="A9" s="4" t="s">
        <v>121</v>
      </c>
      <c r="B9" s="10" t="n">
        <f aca="false">Custos!F14</f>
        <v>6100</v>
      </c>
    </row>
    <row r="10" customFormat="false" ht="15" hidden="false" customHeight="false" outlineLevel="0" collapsed="false">
      <c r="A10" s="4" t="s">
        <v>122</v>
      </c>
      <c r="B10" s="10" t="n">
        <f aca="false">Custos!G14</f>
        <v>22480</v>
      </c>
    </row>
    <row r="11" customFormat="false" ht="15" hidden="false" customHeight="false" outlineLevel="0" collapsed="false">
      <c r="A11" s="11" t="s">
        <v>123</v>
      </c>
      <c r="B11" s="13" t="n">
        <f aca="false">B8-B10</f>
        <v>-22480</v>
      </c>
    </row>
    <row r="13" customFormat="false" ht="15" hidden="false" customHeight="false" outlineLevel="0" collapsed="false">
      <c r="A13" s="4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2026-10-18T13:52:38Z</dcterms:created>
  <dc:creator>openpyxl</dc:creator>
  <dc:description/>
  <dc:language>en-US</dc:language>
  <cp:lastModifiedBy/>
  <dcterms:modified xsi:type="dcterms:W3CDTF">2026-10-18T13:52:38Z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